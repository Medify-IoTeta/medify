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atl\OneDrive\Desktop\Docs 4 Github - Medify\"/>
    </mc:Choice>
  </mc:AlternateContent>
  <xr:revisionPtr revIDLastSave="0" documentId="13_ncr:1_{C4FF19FE-7F43-4D72-9760-0E7C4FE2A75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רכיבים" sheetId="1" r:id="rId1"/>
    <sheet name="מוצרים נלווי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 a="1"/>
  <c r="A34" i="1" s="1"/>
  <c r="A34" i="2" a="1"/>
  <c r="A3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<sst xmlns="http://schemas.openxmlformats.org/spreadsheetml/2006/main" count="203" uniqueCount="70">
  <si>
    <t>רכיבים</t>
  </si>
  <si>
    <t>שם הרכיב</t>
  </si>
  <si>
    <t>קישור</t>
  </si>
  <si>
    <t>כמות</t>
  </si>
  <si>
    <t>מחיר ליחידה</t>
  </si>
  <si>
    <t>ספק</t>
  </si>
  <si>
    <t>סטטוס</t>
  </si>
  <si>
    <t>סה"כ מחיר</t>
  </si>
  <si>
    <t>מוצרים נלווים</t>
  </si>
  <si>
    <t>שם המוצר</t>
  </si>
  <si>
    <t>לינק</t>
  </si>
  <si>
    <t>שימוש</t>
  </si>
  <si>
    <t>כמות יחידות</t>
  </si>
  <si>
    <t>ספיירים</t>
  </si>
  <si>
    <t>Arduino Nano 33 IoT</t>
  </si>
  <si>
    <t>בשימוש</t>
  </si>
  <si>
    <t>מטריצה - 400 נקודות</t>
  </si>
  <si>
    <t>4Project - 1</t>
  </si>
  <si>
    <t>מנוע צעד</t>
  </si>
  <si>
    <t>בקר למנוע צעד</t>
  </si>
  <si>
    <t>היפרטרוניקס</t>
  </si>
  <si>
    <t>טעות</t>
  </si>
  <si>
    <t>מסך OLED 0.91"</t>
  </si>
  <si>
    <t>כפתור קטן</t>
  </si>
  <si>
    <t>מאוורר 25x25x10</t>
  </si>
  <si>
    <t>כפתור גדול</t>
  </si>
  <si>
    <t>ספק כוח 5V</t>
  </si>
  <si>
    <t>לא הותקן</t>
  </si>
  <si>
    <t xml:space="preserve">רצועת לדים RGB </t>
  </si>
  <si>
    <t>4Project - 3</t>
  </si>
  <si>
    <t>משדר IR קטן</t>
  </si>
  <si>
    <t>מקלט IR קטן</t>
  </si>
  <si>
    <t>נהרס</t>
  </si>
  <si>
    <t>מסך OLED 1.5"</t>
  </si>
  <si>
    <t>מחבר שקע מתח</t>
  </si>
  <si>
    <t>4Project - 1+ 2</t>
  </si>
  <si>
    <t>נגד 100 אוהם</t>
  </si>
  <si>
    <t>לא בשימוש</t>
  </si>
  <si>
    <t>נגד 4.7 קילו אוהם</t>
  </si>
  <si>
    <t>בשימוש חלקי</t>
  </si>
  <si>
    <t>YES</t>
  </si>
  <si>
    <t>חוט זכר זכר 15 סנטימטר - 20 יחידות</t>
  </si>
  <si>
    <t>נגד 330 אוהם</t>
  </si>
  <si>
    <t>4Project - 2</t>
  </si>
  <si>
    <t>קבל אלקטרוליטי 470 מיקרו</t>
  </si>
  <si>
    <t>ProMaker</t>
  </si>
  <si>
    <t>Esun PLA+</t>
  </si>
  <si>
    <t>מאוורר 10x30x30</t>
  </si>
  <si>
    <t>4Project - 4</t>
  </si>
  <si>
    <t>אום M3</t>
  </si>
  <si>
    <t>אום M3 ניילוק</t>
  </si>
  <si>
    <t>דיסקית M3 שטוחה</t>
  </si>
  <si>
    <t>בורג פיליפס ראש עגול mm10x2M</t>
  </si>
  <si>
    <t>IR Break Beam Sensor</t>
  </si>
  <si>
    <t>דאן אלקטרוניקה</t>
  </si>
  <si>
    <t>האם לחשב מחיר</t>
  </si>
  <si>
    <t>NO</t>
  </si>
  <si>
    <t>חוט נקבה נקבה 6" - 20 יחידות</t>
  </si>
  <si>
    <t>חוט פרימיום זכר זכר 12" - 10 יחידות</t>
  </si>
  <si>
    <t>אריזה ומשלוח 4Project</t>
  </si>
  <si>
    <t>4Project</t>
  </si>
  <si>
    <t>משלוח היפרטרוניקס</t>
  </si>
  <si>
    <t>משלוח ProMaker</t>
  </si>
  <si>
    <t>חוט זכר נקבה 20 ס"מ - 40 יחידות</t>
  </si>
  <si>
    <t>מוט הברגה M3 מגולוון 1 מטר</t>
  </si>
  <si>
    <t>גלבורג</t>
  </si>
  <si>
    <t>אלן כפתור נירוסטה M3X10MM</t>
  </si>
  <si>
    <t>אלן כפתור נירוסטה M3X20MM</t>
  </si>
  <si>
    <t>משלוח גלבורג</t>
  </si>
  <si>
    <t>דמי טיפול גלבורג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</si>
</sst>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  <font>
      <sz val="12"/>
      <name val="Carlito"/>
    </font>
    <font>
      <u/>
      <sz val="12"/>
      <color theme="10"/>
      <name val="Carlito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8A"/>
      </patternFill>
    </fill>
    <fill>
      <patternFill patternType="solid">
        <fgColor rgb="FFE0F2F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1" fillId="2" borderId="0" xfId="0" applyFont="1" applyFill="1" applyAlignment="1">
      <alignment horizontal="center" vertic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28">
    <dxf>
      <fill>
        <patternFill patternType="solid">
          <bgColor rgb="FFFCA5A5"/>
        </patternFill>
      </fill>
    </dxf>
    <dxf>
      <fill>
        <patternFill patternType="solid">
          <bgColor rgb="FFBBF7D0"/>
        </patternFill>
      </fill>
    </dxf>
    <dxf>
      <font>
        <color rgb="FFFFFFFF"/>
      </font>
      <fill>
        <patternFill patternType="solid">
          <bgColor rgb="FF166534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D1D5D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7DD3FC"/>
        </patternFill>
      </fill>
    </dxf>
    <dxf>
      <font>
        <color rgb="FFFFFFFF"/>
      </font>
      <fill>
        <patternFill patternType="solid">
          <bgColor rgb="FF22C55E"/>
        </patternFill>
      </fill>
    </dxf>
    <dxf>
      <fill>
        <patternFill patternType="solid">
          <bgColor rgb="FFC00000"/>
        </patternFill>
      </fill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rlito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sTable" displayName="ComponentsTable" ref="A2:G32" dataDxfId="17">
  <tableColumns count="7">
    <tableColumn id="1" xr3:uid="{00000000-0010-0000-0000-000001000000}" name="שם הרכיב" dataDxfId="16"/>
    <tableColumn id="2" xr3:uid="{00000000-0010-0000-0000-000002000000}" name="קישור" dataDxfId="15"/>
    <tableColumn id="3" xr3:uid="{00000000-0010-0000-0000-000003000000}" name="כמות" dataDxfId="14"/>
    <tableColumn id="4" xr3:uid="{00000000-0010-0000-0000-000004000000}" name="מחיר ליחידה" dataDxfId="13"/>
    <tableColumn id="5" xr3:uid="{00000000-0010-0000-0000-000005000000}" name="ספק" dataDxfId="12"/>
    <tableColumn id="6" xr3:uid="{00000000-0010-0000-0000-000006000000}" name="סטטוס" dataDxfId="11"/>
    <tableColumn id="7" xr3:uid="{EAD8EB67-3811-4CFD-98AE-AB406C6A2E11}" name="YE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edProductsTable" displayName="RelatedProductsTable" ref="A2:I32" dataDxfId="27">
  <tableColumns count="9">
    <tableColumn id="1" xr3:uid="{00000000-0010-0000-0100-000001000000}" name="שם המוצר" dataDxfId="26"/>
    <tableColumn id="2" xr3:uid="{00000000-0010-0000-0100-000002000000}" name="לינק" dataDxfId="25"/>
    <tableColumn id="3" xr3:uid="{00000000-0010-0000-0100-000003000000}" name="שימוש" dataDxfId="24"/>
    <tableColumn id="4" xr3:uid="{00000000-0010-0000-0100-000004000000}" name="ספק" dataDxfId="23"/>
    <tableColumn id="5" xr3:uid="{00000000-0010-0000-0100-000005000000}" name="מחיר ליחידה" dataDxfId="22"/>
    <tableColumn id="6" xr3:uid="{00000000-0010-0000-0100-000006000000}" name="כמות יחידות" dataDxfId="21"/>
    <tableColumn id="7" xr3:uid="{00000000-0010-0000-0100-000007000000}" name="סטטוס" dataDxfId="20"/>
    <tableColumn id="8" xr3:uid="{00000000-0010-0000-0100-000008000000}" name="ספיירים" dataDxfId="19"/>
    <tableColumn id="9" xr3:uid="{11DF5FE6-5E04-4137-A4DF-6DFCF50955D1}" name="האם לחשב מחיר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511;&#1497;https:/www.4project.co.il/product/concave-button-35mm-green" TargetMode="External"/><Relationship Id="rId13" Type="http://schemas.openxmlformats.org/officeDocument/2006/relationships/hyperlink" Target="https://www.dash.co.il/index.php?route=product/product&amp;product_id=5375" TargetMode="External"/><Relationship Id="rId3" Type="http://schemas.openxmlformats.org/officeDocument/2006/relationships/hyperlink" Target="https://www.4project.co.il/product/stepper-motor-28byj48-5v" TargetMode="External"/><Relationship Id="rId7" Type="http://schemas.openxmlformats.org/officeDocument/2006/relationships/hyperlink" Target="https://www.4project.co.il/product/540138" TargetMode="External"/><Relationship Id="rId12" Type="http://schemas.openxmlformats.org/officeDocument/2006/relationships/hyperlink" Target="https://www.4project.co.il/product/334832" TargetMode="External"/><Relationship Id="rId2" Type="http://schemas.openxmlformats.org/officeDocument/2006/relationships/hyperlink" Target="https://www.4project.co.il/product/breadboard-400-points-white" TargetMode="External"/><Relationship Id="rId1" Type="http://schemas.openxmlformats.org/officeDocument/2006/relationships/hyperlink" Target="https://www.4project.co.il/product/arduino-nano-33-iot-with-headers" TargetMode="External"/><Relationship Id="rId6" Type="http://schemas.openxmlformats.org/officeDocument/2006/relationships/hyperlink" Target="https://www.4project.co.il/product/panel-mount-button-red" TargetMode="External"/><Relationship Id="rId11" Type="http://schemas.openxmlformats.org/officeDocument/2006/relationships/hyperlink" Target="https://www.4project.co.il/product/oled-1.5inch-128x128-i2c-spi-interface" TargetMode="External"/><Relationship Id="rId5" Type="http://schemas.openxmlformats.org/officeDocument/2006/relationships/hyperlink" Target="https://www.4project.co.il/product/oled-0.91inch-128x32-i2c-interface" TargetMode="External"/><Relationship Id="rId10" Type="http://schemas.openxmlformats.org/officeDocument/2006/relationships/hyperlink" Target="https://www.4project.co.il/product/addressable-rgb-60-led-strip-5v-1m-ws2812b" TargetMode="External"/><Relationship Id="rId4" Type="http://schemas.openxmlformats.org/officeDocument/2006/relationships/hyperlink" Target="https://hipertronics.co.il/product/%d7%9c%d7%95%d7%97-%d7%9c%d7%9e%d7%a0%d7%95%d7%a2-%d7%a6%d7%a2%d7%93-uln2003-%d7%9c%d7%90%d7%a8%d7%93%d7%95%d7%90%d7%99%d7%a0%d7%95/" TargetMode="External"/><Relationship Id="rId9" Type="http://schemas.openxmlformats.org/officeDocument/2006/relationships/hyperlink" Target="https://www.4project.co.il/product/wall-adapter-power-supply-5v-2a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sh.co.il/index.php?route=product/product&amp;product_id=1012796&amp;search=JUMPER+WIRE+-+connected+6%22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dash.co.il/index.php?route=product/product&amp;product_id=1009387&amp;search=JUMPER+WIRE+PREMIUM+12%22+M%2FM+pack+of+10" TargetMode="External"/><Relationship Id="rId1" Type="http://schemas.openxmlformats.org/officeDocument/2006/relationships/hyperlink" Target="https://www.4project.co.il/product/resistor-100-ohm-5w-pth" TargetMode="External"/><Relationship Id="rId6" Type="http://schemas.openxmlformats.org/officeDocument/2006/relationships/hyperlink" Target="https://galboreg-shop.co.il/index.php?route=product/product&amp;search=%D7%90%D7%9C%D7%9F+%D7%9B%D7%A4%D7%AA%D7%95%D7%A8+%D7%A4%D7%9C%D7%A0%D7%92%27+%D7%A0%D7%99%D7%A8%D7%95%D7%A1%D7%98%D7%94+-+&amp;product_id=19562&amp;search=%D7%90%D7%9C%D7%9F+%D7%9B%D7%A4%D7%AA%D7%95%D7%A8+%D7%A4%D7%9C%D7%A0%D7%92%27+%D7%A0%D7%99%D7%A8%D7%95%D7%A1%D7%98%D7%94+-+" TargetMode="External"/><Relationship Id="rId5" Type="http://schemas.openxmlformats.org/officeDocument/2006/relationships/hyperlink" Target="https://galboreg-shop.co.il/index.php?route=product/product&amp;search=%D7%90%D7%9C%D7%9F+%D7%9B%D7%A4%D7%AA%D7%95%D7%A8+%D7%A4%D7%9C%D7%A0%D7%92%27+%D7%A0%D7%99%D7%A8%D7%95%D7%A1%D7%98%D7%94+-+&amp;product_id=19557&amp;search=%D7%90%D7%9C%D7%9F+%D7%9B%D7%A4%D7%AA%D7%95%D7%A8+%D7%A4%D7%9C%D7%A0%D7%92%27+%D7%A0%D7%99%D7%A8%D7%95%D7%A1%D7%98%D7%94+-+" TargetMode="External"/><Relationship Id="rId4" Type="http://schemas.openxmlformats.org/officeDocument/2006/relationships/hyperlink" Target="https://galboreg-shop.co.il/index.php?route=product/product&amp;search=%D7%9E%D7%95%D7%98+%D7%94%D7%91%D7%A8%D7%92%D7%94+%D7%9E%D7%92%D7%95%D7%9C%D7%91%D7%9F+%281+%D7%9E%D7%98%D7%A8%29+M3&amp;product_id=1049&amp;search=%D7%9E%D7%95%D7%98+%D7%94%D7%91%D7%A8%D7%92%D7%94+%D7%9E%D7%92%D7%95%D7%9C%D7%91%D7%9F+%281+%D7%9E%D7%98%D7%A8%29+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18" sqref="C18"/>
    </sheetView>
  </sheetViews>
  <sheetFormatPr defaultRowHeight="14"/>
  <cols>
    <col min="1" max="1" width="24" customWidth="1"/>
    <col min="2" max="2" width="32" customWidth="1"/>
    <col min="3" max="4" width="14" customWidth="1"/>
    <col min="5" max="6" width="18" customWidth="1"/>
    <col min="7" max="7" width="17.08203125" customWidth="1"/>
  </cols>
  <sheetData>
    <row r="1" spans="1:7" ht="18.649999999999999" customHeight="1">
      <c r="A1" s="10" t="s">
        <v>0</v>
      </c>
      <c r="B1" s="10"/>
      <c r="C1" s="10"/>
      <c r="D1" s="10"/>
      <c r="E1" s="10"/>
      <c r="F1" s="10"/>
    </row>
    <row r="2" spans="1:7" ht="14.6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t="s">
        <v>40</v>
      </c>
    </row>
    <row r="3" spans="1:7" ht="13.4" customHeight="1">
      <c r="A3" s="4" t="s">
        <v>14</v>
      </c>
      <c r="B3" s="5" t="s">
        <v>2</v>
      </c>
      <c r="C3" s="6">
        <v>1</v>
      </c>
      <c r="D3" s="6">
        <v>150.30000000000001</v>
      </c>
      <c r="E3" s="4" t="s">
        <v>17</v>
      </c>
      <c r="F3" s="4" t="s">
        <v>15</v>
      </c>
      <c r="G3" s="7" t="s">
        <v>40</v>
      </c>
    </row>
    <row r="4" spans="1:7" ht="13.4" customHeight="1">
      <c r="A4" s="4" t="s">
        <v>16</v>
      </c>
      <c r="B4" s="5" t="s">
        <v>2</v>
      </c>
      <c r="C4" s="6">
        <v>1</v>
      </c>
      <c r="D4" s="6">
        <v>9.9</v>
      </c>
      <c r="E4" s="4" t="s">
        <v>17</v>
      </c>
      <c r="F4" s="4" t="s">
        <v>15</v>
      </c>
      <c r="G4" s="7" t="s">
        <v>40</v>
      </c>
    </row>
    <row r="5" spans="1:7" ht="13.4" customHeight="1">
      <c r="A5" s="4" t="s">
        <v>18</v>
      </c>
      <c r="B5" s="5" t="s">
        <v>2</v>
      </c>
      <c r="C5" s="6">
        <v>1</v>
      </c>
      <c r="D5" s="6">
        <v>14.8</v>
      </c>
      <c r="E5" s="4" t="s">
        <v>17</v>
      </c>
      <c r="F5" s="4" t="s">
        <v>15</v>
      </c>
      <c r="G5" s="7" t="s">
        <v>40</v>
      </c>
    </row>
    <row r="6" spans="1:7" ht="13.4" customHeight="1">
      <c r="A6" s="4" t="s">
        <v>19</v>
      </c>
      <c r="B6" s="5" t="s">
        <v>2</v>
      </c>
      <c r="C6" s="6">
        <v>1</v>
      </c>
      <c r="D6" s="6">
        <v>13.9</v>
      </c>
      <c r="E6" s="4" t="s">
        <v>20</v>
      </c>
      <c r="F6" s="4" t="s">
        <v>15</v>
      </c>
      <c r="G6" s="7" t="s">
        <v>40</v>
      </c>
    </row>
    <row r="7" spans="1:7" ht="13.4" customHeight="1">
      <c r="A7" s="4" t="s">
        <v>22</v>
      </c>
      <c r="B7" s="5" t="s">
        <v>2</v>
      </c>
      <c r="C7" s="6">
        <v>1</v>
      </c>
      <c r="D7" s="6">
        <v>37.799999999999997</v>
      </c>
      <c r="E7" s="4" t="s">
        <v>17</v>
      </c>
      <c r="F7" s="4" t="s">
        <v>21</v>
      </c>
      <c r="G7" s="7" t="s">
        <v>40</v>
      </c>
    </row>
    <row r="8" spans="1:7" ht="13.4" customHeight="1">
      <c r="A8" s="4" t="s">
        <v>23</v>
      </c>
      <c r="B8" s="5" t="s">
        <v>2</v>
      </c>
      <c r="C8" s="6">
        <v>1</v>
      </c>
      <c r="D8" s="6">
        <v>2.9</v>
      </c>
      <c r="E8" s="4" t="s">
        <v>17</v>
      </c>
      <c r="F8" s="4" t="s">
        <v>27</v>
      </c>
      <c r="G8" s="7" t="s">
        <v>40</v>
      </c>
    </row>
    <row r="9" spans="1:7" ht="13.4" customHeight="1">
      <c r="A9" s="4" t="s">
        <v>24</v>
      </c>
      <c r="B9" s="5" t="s">
        <v>2</v>
      </c>
      <c r="C9" s="6">
        <v>1</v>
      </c>
      <c r="D9" s="6">
        <v>13.9</v>
      </c>
      <c r="E9" s="4" t="s">
        <v>17</v>
      </c>
      <c r="F9" s="4" t="s">
        <v>21</v>
      </c>
      <c r="G9" s="7" t="s">
        <v>40</v>
      </c>
    </row>
    <row r="10" spans="1:7" ht="13.4" customHeight="1">
      <c r="A10" s="4" t="s">
        <v>25</v>
      </c>
      <c r="B10" s="5" t="s">
        <v>2</v>
      </c>
      <c r="C10" s="6">
        <v>1</v>
      </c>
      <c r="D10" s="6">
        <v>22.4</v>
      </c>
      <c r="E10" s="4" t="s">
        <v>17</v>
      </c>
      <c r="F10" s="4" t="s">
        <v>21</v>
      </c>
      <c r="G10" s="7" t="s">
        <v>40</v>
      </c>
    </row>
    <row r="11" spans="1:7" ht="13.4" customHeight="1">
      <c r="A11" s="4" t="s">
        <v>26</v>
      </c>
      <c r="B11" s="5" t="s">
        <v>2</v>
      </c>
      <c r="C11" s="6">
        <v>1</v>
      </c>
      <c r="D11" s="6">
        <v>19.899999999999999</v>
      </c>
      <c r="E11" s="4" t="s">
        <v>17</v>
      </c>
      <c r="F11" s="4" t="s">
        <v>15</v>
      </c>
      <c r="G11" s="7" t="s">
        <v>40</v>
      </c>
    </row>
    <row r="12" spans="1:7" ht="13.4" customHeight="1">
      <c r="A12" s="4" t="s">
        <v>28</v>
      </c>
      <c r="B12" s="5" t="s">
        <v>2</v>
      </c>
      <c r="C12" s="6">
        <v>1</v>
      </c>
      <c r="D12" s="6">
        <v>26.7</v>
      </c>
      <c r="E12" s="4" t="s">
        <v>29</v>
      </c>
      <c r="F12" s="4" t="s">
        <v>27</v>
      </c>
      <c r="G12" s="7" t="s">
        <v>40</v>
      </c>
    </row>
    <row r="13" spans="1:7" ht="13.4" customHeight="1">
      <c r="A13" s="4" t="s">
        <v>30</v>
      </c>
      <c r="B13" s="4"/>
      <c r="C13" s="6">
        <v>1</v>
      </c>
      <c r="D13" s="6">
        <v>6.1</v>
      </c>
      <c r="E13" s="4" t="s">
        <v>17</v>
      </c>
      <c r="F13" s="4" t="s">
        <v>32</v>
      </c>
      <c r="G13" s="7" t="s">
        <v>40</v>
      </c>
    </row>
    <row r="14" spans="1:7" ht="13.4" customHeight="1">
      <c r="A14" s="4" t="s">
        <v>31</v>
      </c>
      <c r="B14" s="4"/>
      <c r="C14" s="6">
        <v>1</v>
      </c>
      <c r="D14" s="6">
        <v>6.1</v>
      </c>
      <c r="E14" s="4" t="s">
        <v>17</v>
      </c>
      <c r="F14" s="4" t="s">
        <v>32</v>
      </c>
      <c r="G14" s="7" t="s">
        <v>40</v>
      </c>
    </row>
    <row r="15" spans="1:7" ht="13.4" customHeight="1">
      <c r="A15" s="4" t="s">
        <v>33</v>
      </c>
      <c r="B15" s="5" t="s">
        <v>2</v>
      </c>
      <c r="C15" s="6">
        <v>1</v>
      </c>
      <c r="D15" s="6">
        <v>78.2</v>
      </c>
      <c r="E15" s="4" t="s">
        <v>29</v>
      </c>
      <c r="F15" s="4" t="s">
        <v>27</v>
      </c>
      <c r="G15" s="7" t="s">
        <v>40</v>
      </c>
    </row>
    <row r="16" spans="1:7" ht="13.4" customHeight="1">
      <c r="A16" s="7" t="s">
        <v>47</v>
      </c>
      <c r="B16" s="4"/>
      <c r="C16" s="6">
        <v>1</v>
      </c>
      <c r="D16" s="6">
        <v>13.7</v>
      </c>
      <c r="E16" s="4" t="s">
        <v>48</v>
      </c>
      <c r="F16" s="4" t="s">
        <v>27</v>
      </c>
      <c r="G16" s="7" t="s">
        <v>40</v>
      </c>
    </row>
    <row r="17" spans="1:7" ht="13.4" customHeight="1">
      <c r="A17" s="4" t="s">
        <v>34</v>
      </c>
      <c r="B17" s="5" t="s">
        <v>2</v>
      </c>
      <c r="C17" s="6">
        <v>4</v>
      </c>
      <c r="D17" s="6">
        <v>8</v>
      </c>
      <c r="E17" s="4" t="s">
        <v>35</v>
      </c>
      <c r="F17" s="4" t="s">
        <v>15</v>
      </c>
      <c r="G17" s="7" t="s">
        <v>40</v>
      </c>
    </row>
    <row r="18" spans="1:7" ht="13.4" customHeight="1">
      <c r="A18" s="4" t="s">
        <v>53</v>
      </c>
      <c r="B18" s="5" t="s">
        <v>2</v>
      </c>
      <c r="C18" s="6">
        <v>1</v>
      </c>
      <c r="D18" s="6">
        <v>80</v>
      </c>
      <c r="E18" s="4" t="s">
        <v>54</v>
      </c>
      <c r="F18" s="4" t="s">
        <v>27</v>
      </c>
      <c r="G18" s="7" t="s">
        <v>40</v>
      </c>
    </row>
    <row r="19" spans="1:7" ht="27" customHeight="1">
      <c r="A19" s="7"/>
      <c r="B19" s="7"/>
      <c r="C19" s="7"/>
      <c r="D19" s="7"/>
      <c r="E19" s="7"/>
      <c r="F19" s="4"/>
      <c r="G19" s="7" t="s">
        <v>56</v>
      </c>
    </row>
    <row r="20" spans="1:7" ht="13.4" customHeight="1">
      <c r="A20" s="7"/>
      <c r="B20" s="4"/>
      <c r="C20" s="6"/>
      <c r="D20" s="6"/>
      <c r="E20" s="4"/>
      <c r="F20" s="4"/>
      <c r="G20" s="7" t="s">
        <v>56</v>
      </c>
    </row>
    <row r="21" spans="1:7" ht="13.4" customHeight="1">
      <c r="A21" s="4"/>
      <c r="B21" s="4"/>
      <c r="C21" s="6"/>
      <c r="D21" s="6"/>
      <c r="E21" s="4"/>
      <c r="F21" s="4"/>
      <c r="G21" s="7" t="s">
        <v>56</v>
      </c>
    </row>
    <row r="22" spans="1:7" ht="13.4" customHeight="1">
      <c r="A22" s="4"/>
      <c r="B22" s="4"/>
      <c r="C22" s="6"/>
      <c r="D22" s="6"/>
      <c r="E22" s="4"/>
      <c r="F22" s="4"/>
      <c r="G22" s="7" t="s">
        <v>56</v>
      </c>
    </row>
    <row r="23" spans="1:7" ht="13.4" customHeight="1">
      <c r="A23" s="4"/>
      <c r="B23" s="4"/>
      <c r="C23" s="6"/>
      <c r="D23" s="6"/>
      <c r="E23" s="4"/>
      <c r="F23" s="4"/>
      <c r="G23" s="7" t="s">
        <v>56</v>
      </c>
    </row>
    <row r="24" spans="1:7" ht="13.4" customHeight="1">
      <c r="A24" s="4"/>
      <c r="B24" s="4"/>
      <c r="C24" s="6"/>
      <c r="D24" s="6"/>
      <c r="E24" s="4"/>
      <c r="F24" s="4"/>
      <c r="G24" s="7" t="s">
        <v>56</v>
      </c>
    </row>
    <row r="25" spans="1:7" ht="13.4" customHeight="1">
      <c r="A25" s="4"/>
      <c r="B25" s="4"/>
      <c r="C25" s="6"/>
      <c r="D25" s="6"/>
      <c r="E25" s="4"/>
      <c r="F25" s="4"/>
      <c r="G25" s="7" t="s">
        <v>56</v>
      </c>
    </row>
    <row r="26" spans="1:7" ht="13.4" customHeight="1">
      <c r="A26" s="4"/>
      <c r="B26" s="4"/>
      <c r="C26" s="6"/>
      <c r="D26" s="6"/>
      <c r="E26" s="4"/>
      <c r="F26" s="4"/>
      <c r="G26" s="7" t="s">
        <v>56</v>
      </c>
    </row>
    <row r="27" spans="1:7" ht="13.4" customHeight="1">
      <c r="A27" s="4"/>
      <c r="B27" s="4"/>
      <c r="C27" s="6"/>
      <c r="D27" s="6"/>
      <c r="E27" s="4"/>
      <c r="F27" s="4"/>
      <c r="G27" s="7" t="s">
        <v>56</v>
      </c>
    </row>
    <row r="28" spans="1:7" ht="13.4" customHeight="1">
      <c r="A28" s="4"/>
      <c r="B28" s="4"/>
      <c r="C28" s="6"/>
      <c r="D28" s="6"/>
      <c r="E28" s="4"/>
      <c r="F28" s="4"/>
      <c r="G28" s="7" t="s">
        <v>56</v>
      </c>
    </row>
    <row r="29" spans="1:7" ht="13.4" customHeight="1">
      <c r="A29" s="4"/>
      <c r="B29" s="4"/>
      <c r="C29" s="6"/>
      <c r="D29" s="6"/>
      <c r="E29" s="4"/>
      <c r="F29" s="4"/>
      <c r="G29" s="7" t="s">
        <v>56</v>
      </c>
    </row>
    <row r="30" spans="1:7" ht="13.4" customHeight="1">
      <c r="A30" s="4"/>
      <c r="B30" s="4"/>
      <c r="C30" s="6"/>
      <c r="D30" s="6"/>
      <c r="E30" s="4"/>
      <c r="F30" s="4"/>
      <c r="G30" s="7" t="s">
        <v>56</v>
      </c>
    </row>
    <row r="31" spans="1:7" ht="13.4" customHeight="1">
      <c r="A31" s="4"/>
      <c r="B31" s="4"/>
      <c r="C31" s="6"/>
      <c r="D31" s="6"/>
      <c r="E31" s="4"/>
      <c r="F31" s="4"/>
      <c r="G31" s="7" t="s">
        <v>56</v>
      </c>
    </row>
    <row r="32" spans="1:7" ht="13.4" customHeight="1">
      <c r="A32" s="4"/>
      <c r="B32" s="4"/>
      <c r="C32" s="6"/>
      <c r="D32" s="6"/>
      <c r="E32" s="4"/>
      <c r="F32" s="4"/>
      <c r="G32" s="7"/>
    </row>
    <row r="34" spans="1:2">
      <c r="A34" s="2" cm="1">
        <f t="array" ref="A34">SUMPRODUCT((G3:G32="YES")*(C3:C32)*(D3:D32))</f>
        <v>528.6</v>
      </c>
      <c r="B34" s="3" t="s">
        <v>7</v>
      </c>
    </row>
  </sheetData>
  <mergeCells count="1">
    <mergeCell ref="A1:F1"/>
  </mergeCells>
  <conditionalFormatting sqref="F3:F32">
    <cfRule type="expression" dxfId="9" priority="2">
      <formula>F3="טעות"</formula>
    </cfRule>
    <cfRule type="expression" dxfId="8" priority="3">
      <formula>F3="בשימוש"</formula>
    </cfRule>
    <cfRule type="expression" dxfId="7" priority="4">
      <formula>F3="הותקן"</formula>
    </cfRule>
    <cfRule type="expression" dxfId="6" priority="5">
      <formula>F3="לא הותקן"</formula>
    </cfRule>
    <cfRule type="expression" dxfId="5" priority="6">
      <formula>F3="נהרס"</formula>
    </cfRule>
  </conditionalFormatting>
  <conditionalFormatting sqref="G3:G31">
    <cfRule type="cellIs" dxfId="4" priority="1" operator="equal">
      <formula>"YES"</formula>
    </cfRule>
  </conditionalFormatting>
  <dataValidations count="2">
    <dataValidation type="list" sqref="F1:F1048576" xr:uid="{C81A88AF-B09C-4661-ABB9-75EDFAA21465}">
      <formula1>"בשימוש,הותקן,לא הותקן,נהרס,טעות"</formula1>
    </dataValidation>
    <dataValidation type="list" allowBlank="1" showInputMessage="1" showErrorMessage="1" sqref="G2:G31" xr:uid="{308C0FE6-813D-4FE0-9025-9FFF30F55A83}">
      <formula1>"YES,NO"</formula1>
    </dataValidation>
  </dataValidations>
  <hyperlinks>
    <hyperlink ref="B3" r:id="rId1" xr:uid="{AAEE772E-73E0-4C53-B15C-BF3F813B3D1D}"/>
    <hyperlink ref="B4" r:id="rId2" xr:uid="{DDAAF52F-2508-40A8-B9D5-EE7DAFDCCA12}"/>
    <hyperlink ref="B5" r:id="rId3" xr:uid="{621FF80F-EBFC-4D1E-907A-8009A1F9EC9F}"/>
    <hyperlink ref="B6" r:id="rId4" xr:uid="{951790E4-C0CB-4AAD-96C3-D8BA928EE546}"/>
    <hyperlink ref="B7" r:id="rId5" xr:uid="{856A86FD-FB02-4736-890E-71C4AEDAC072}"/>
    <hyperlink ref="B8" r:id="rId6" xr:uid="{06514890-2F5D-4EAB-8E30-08F82C014038}"/>
    <hyperlink ref="B9" r:id="rId7" xr:uid="{F9F1C8BC-F2AC-4F22-BCD1-7D5A25E34272}"/>
    <hyperlink ref="B10" r:id="rId8" xr:uid="{A305937B-7059-4964-8225-640620DD0CD0}"/>
    <hyperlink ref="B11" r:id="rId9" xr:uid="{20BEB272-1EBB-48F2-94FE-65443775EA3A}"/>
    <hyperlink ref="B12" r:id="rId10" xr:uid="{9E9CA81F-6C6B-4A2B-A2B3-42F8466BE108}"/>
    <hyperlink ref="B15" r:id="rId11" xr:uid="{6F949D74-2576-4CC0-B065-53ECCB3EE498}"/>
    <hyperlink ref="B17" r:id="rId12" xr:uid="{6289BF81-5F97-4973-BDE4-380F1EBEB119}"/>
    <hyperlink ref="B18" r:id="rId13" xr:uid="{2AC8B0B3-4DB0-4450-9625-20EC9C349CD3}"/>
  </hyperlinks>
  <pageMargins left="0.7" right="0.7" top="0.75" bottom="0.75" header="0.3" footer="0.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zoomScale="62" workbookViewId="0">
      <selection activeCell="E32" sqref="E32"/>
    </sheetView>
  </sheetViews>
  <sheetFormatPr defaultRowHeight="14"/>
  <cols>
    <col min="1" max="1" width="36.5" customWidth="1"/>
    <col min="2" max="2" width="32" customWidth="1"/>
    <col min="3" max="3" width="11.4140625" customWidth="1"/>
    <col min="4" max="4" width="18" customWidth="1"/>
    <col min="5" max="6" width="14" customWidth="1"/>
    <col min="7" max="8" width="18" customWidth="1"/>
    <col min="9" max="9" width="17.5" customWidth="1"/>
  </cols>
  <sheetData>
    <row r="1" spans="1:9" ht="18.649999999999999" customHeight="1">
      <c r="A1" s="10" t="s">
        <v>8</v>
      </c>
      <c r="B1" s="10"/>
      <c r="C1" s="10"/>
      <c r="D1" s="10"/>
      <c r="E1" s="10"/>
      <c r="F1" s="10"/>
      <c r="G1" s="10"/>
      <c r="H1" s="10"/>
    </row>
    <row r="2" spans="1:9" ht="14.65" customHeight="1">
      <c r="A2" s="1" t="s">
        <v>9</v>
      </c>
      <c r="B2" s="1" t="s">
        <v>10</v>
      </c>
      <c r="C2" s="1" t="s">
        <v>11</v>
      </c>
      <c r="D2" s="1" t="s">
        <v>5</v>
      </c>
      <c r="E2" s="1" t="s">
        <v>4</v>
      </c>
      <c r="F2" s="1" t="s">
        <v>12</v>
      </c>
      <c r="G2" s="1" t="s">
        <v>6</v>
      </c>
      <c r="H2" s="1" t="s">
        <v>13</v>
      </c>
      <c r="I2" t="s">
        <v>55</v>
      </c>
    </row>
    <row r="3" spans="1:9" ht="13.4" customHeight="1">
      <c r="A3" s="4" t="s">
        <v>36</v>
      </c>
      <c r="B3" s="5" t="s">
        <v>2</v>
      </c>
      <c r="C3" s="4"/>
      <c r="D3" s="4" t="s">
        <v>17</v>
      </c>
      <c r="E3" s="6">
        <v>2.8</v>
      </c>
      <c r="F3" s="6">
        <v>1</v>
      </c>
      <c r="G3" s="4" t="s">
        <v>37</v>
      </c>
      <c r="H3" s="4"/>
      <c r="I3" s="7" t="s">
        <v>40</v>
      </c>
    </row>
    <row r="4" spans="1:9" ht="13.4" customHeight="1">
      <c r="A4" s="8" t="s">
        <v>38</v>
      </c>
      <c r="B4" s="4"/>
      <c r="C4" s="4"/>
      <c r="D4" s="4" t="s">
        <v>17</v>
      </c>
      <c r="E4" s="6">
        <v>0.3</v>
      </c>
      <c r="F4" s="6">
        <v>10</v>
      </c>
      <c r="G4" s="4" t="s">
        <v>37</v>
      </c>
      <c r="H4" s="4"/>
      <c r="I4" s="7" t="s">
        <v>40</v>
      </c>
    </row>
    <row r="5" spans="1:9" ht="13.4" customHeight="1">
      <c r="A5" s="4" t="s">
        <v>41</v>
      </c>
      <c r="B5" s="4"/>
      <c r="C5" s="4"/>
      <c r="D5" s="4" t="s">
        <v>17</v>
      </c>
      <c r="E5" s="6">
        <v>18.8</v>
      </c>
      <c r="F5" s="6">
        <v>2</v>
      </c>
      <c r="G5" s="4" t="s">
        <v>39</v>
      </c>
      <c r="H5" s="4"/>
      <c r="I5" s="7" t="s">
        <v>40</v>
      </c>
    </row>
    <row r="6" spans="1:9" ht="13.4" customHeight="1">
      <c r="A6" s="4" t="s">
        <v>63</v>
      </c>
      <c r="B6" s="4"/>
      <c r="C6" s="4"/>
      <c r="D6" s="4" t="s">
        <v>17</v>
      </c>
      <c r="E6" s="6">
        <v>9.5</v>
      </c>
      <c r="F6" s="6">
        <v>2</v>
      </c>
      <c r="G6" s="4" t="s">
        <v>39</v>
      </c>
      <c r="H6" s="4"/>
      <c r="I6" s="7" t="s">
        <v>40</v>
      </c>
    </row>
    <row r="7" spans="1:9" ht="13.4" customHeight="1">
      <c r="A7" s="4" t="s">
        <v>42</v>
      </c>
      <c r="B7" s="4"/>
      <c r="C7" s="4"/>
      <c r="D7" s="4" t="s">
        <v>43</v>
      </c>
      <c r="E7" s="6">
        <v>0.3</v>
      </c>
      <c r="F7" s="6">
        <v>10</v>
      </c>
      <c r="G7" s="4" t="s">
        <v>37</v>
      </c>
      <c r="H7" s="4"/>
      <c r="I7" s="7" t="s">
        <v>40</v>
      </c>
    </row>
    <row r="8" spans="1:9" ht="13.4" customHeight="1">
      <c r="A8" s="4" t="s">
        <v>44</v>
      </c>
      <c r="B8" s="4"/>
      <c r="C8" s="4"/>
      <c r="D8" s="4" t="s">
        <v>43</v>
      </c>
      <c r="E8" s="6">
        <v>0.9</v>
      </c>
      <c r="F8" s="6">
        <v>3</v>
      </c>
      <c r="G8" s="4" t="s">
        <v>37</v>
      </c>
      <c r="H8" s="4"/>
      <c r="I8" s="7" t="s">
        <v>40</v>
      </c>
    </row>
    <row r="9" spans="1:9" ht="13.4" customHeight="1">
      <c r="A9" s="4" t="s">
        <v>46</v>
      </c>
      <c r="B9" s="4"/>
      <c r="C9" s="4"/>
      <c r="D9" s="4" t="s">
        <v>45</v>
      </c>
      <c r="E9" s="6">
        <v>79</v>
      </c>
      <c r="F9" s="6">
        <v>2</v>
      </c>
      <c r="G9" s="4" t="s">
        <v>15</v>
      </c>
      <c r="H9" s="4"/>
      <c r="I9" s="7" t="s">
        <v>40</v>
      </c>
    </row>
    <row r="10" spans="1:9" ht="13.4" customHeight="1">
      <c r="A10" s="4" t="s">
        <v>49</v>
      </c>
      <c r="B10" s="4"/>
      <c r="C10" s="4"/>
      <c r="D10" s="4" t="s">
        <v>48</v>
      </c>
      <c r="E10" s="6">
        <v>0.2</v>
      </c>
      <c r="F10" s="6">
        <v>30</v>
      </c>
      <c r="G10" s="4" t="s">
        <v>39</v>
      </c>
      <c r="H10" s="4"/>
      <c r="I10" s="7" t="s">
        <v>40</v>
      </c>
    </row>
    <row r="11" spans="1:9" ht="13.4" customHeight="1">
      <c r="A11" s="4" t="s">
        <v>50</v>
      </c>
      <c r="B11" s="4"/>
      <c r="C11" s="4"/>
      <c r="D11" s="4" t="s">
        <v>48</v>
      </c>
      <c r="E11" s="6">
        <v>0.25</v>
      </c>
      <c r="F11" s="6">
        <v>10</v>
      </c>
      <c r="G11" s="4" t="s">
        <v>39</v>
      </c>
      <c r="H11" s="4"/>
      <c r="I11" s="7" t="s">
        <v>40</v>
      </c>
    </row>
    <row r="12" spans="1:9" ht="13.4" customHeight="1">
      <c r="A12" s="4" t="s">
        <v>51</v>
      </c>
      <c r="B12" s="4"/>
      <c r="C12" s="4"/>
      <c r="D12" s="4" t="s">
        <v>48</v>
      </c>
      <c r="E12" s="6">
        <v>7.0000000000000007E-2</v>
      </c>
      <c r="F12" s="6">
        <v>40</v>
      </c>
      <c r="G12" s="4" t="s">
        <v>37</v>
      </c>
      <c r="H12" s="4"/>
      <c r="I12" s="7" t="s">
        <v>40</v>
      </c>
    </row>
    <row r="13" spans="1:9" ht="13.4" customHeight="1">
      <c r="A13" s="7" t="s">
        <v>52</v>
      </c>
      <c r="B13" s="4"/>
      <c r="C13" s="4"/>
      <c r="D13" s="4" t="s">
        <v>48</v>
      </c>
      <c r="E13" s="6">
        <v>0.2</v>
      </c>
      <c r="F13" s="6">
        <v>10</v>
      </c>
      <c r="G13" s="4" t="s">
        <v>37</v>
      </c>
      <c r="H13" s="4"/>
      <c r="I13" s="7" t="s">
        <v>40</v>
      </c>
    </row>
    <row r="14" spans="1:9" ht="25" customHeight="1">
      <c r="A14" s="9" t="s">
        <v>58</v>
      </c>
      <c r="B14" s="5" t="s">
        <v>2</v>
      </c>
      <c r="C14" s="6"/>
      <c r="D14" s="4" t="s">
        <v>54</v>
      </c>
      <c r="E14" s="4">
        <v>32</v>
      </c>
      <c r="F14" s="6">
        <v>1</v>
      </c>
      <c r="G14" s="4" t="s">
        <v>37</v>
      </c>
      <c r="H14" s="4"/>
      <c r="I14" s="7" t="s">
        <v>40</v>
      </c>
    </row>
    <row r="15" spans="1:9" ht="26" customHeight="1">
      <c r="A15" s="9" t="s">
        <v>57</v>
      </c>
      <c r="B15" s="5" t="s">
        <v>2</v>
      </c>
      <c r="C15" s="4"/>
      <c r="D15" s="4" t="s">
        <v>54</v>
      </c>
      <c r="E15" s="6">
        <v>27</v>
      </c>
      <c r="F15" s="6">
        <v>1</v>
      </c>
      <c r="G15" s="4" t="s">
        <v>37</v>
      </c>
      <c r="H15" s="4"/>
      <c r="I15" s="7" t="s">
        <v>40</v>
      </c>
    </row>
    <row r="16" spans="1:9" ht="13.4" customHeight="1">
      <c r="A16" s="7" t="s">
        <v>64</v>
      </c>
      <c r="B16" s="11" t="s">
        <v>2</v>
      </c>
      <c r="C16" s="7"/>
      <c r="D16" s="7" t="s">
        <v>65</v>
      </c>
      <c r="E16" s="7">
        <v>7.08</v>
      </c>
      <c r="F16" s="7">
        <v>5</v>
      </c>
      <c r="G16" s="4" t="s">
        <v>37</v>
      </c>
      <c r="H16" s="7"/>
      <c r="I16" s="7" t="s">
        <v>40</v>
      </c>
    </row>
    <row r="17" spans="1:9" ht="13.4" customHeight="1">
      <c r="A17" s="7" t="s">
        <v>66</v>
      </c>
      <c r="B17" s="11" t="s">
        <v>2</v>
      </c>
      <c r="C17" s="7"/>
      <c r="D17" s="7" t="s">
        <v>65</v>
      </c>
      <c r="E17" s="7">
        <v>2.2400000000000002</v>
      </c>
      <c r="F17" s="7">
        <v>10</v>
      </c>
      <c r="G17" s="4" t="s">
        <v>37</v>
      </c>
      <c r="H17" s="7"/>
      <c r="I17" s="7" t="s">
        <v>40</v>
      </c>
    </row>
    <row r="18" spans="1:9" ht="13.4" customHeight="1">
      <c r="A18" s="7" t="s">
        <v>67</v>
      </c>
      <c r="B18" s="11" t="s">
        <v>2</v>
      </c>
      <c r="C18" s="7"/>
      <c r="D18" s="7" t="s">
        <v>65</v>
      </c>
      <c r="E18" s="7">
        <v>3.54</v>
      </c>
      <c r="F18" s="7">
        <v>10</v>
      </c>
      <c r="G18" s="4" t="s">
        <v>37</v>
      </c>
      <c r="H18" s="7"/>
      <c r="I18" s="7" t="s">
        <v>40</v>
      </c>
    </row>
    <row r="19" spans="1:9" ht="13.4" customHeight="1">
      <c r="A19" s="7"/>
      <c r="B19" s="7"/>
      <c r="C19" s="7"/>
      <c r="D19" s="7"/>
      <c r="E19" s="7"/>
      <c r="F19" s="7"/>
      <c r="G19" s="4"/>
      <c r="H19" s="7"/>
      <c r="I19" s="7"/>
    </row>
    <row r="20" spans="1:9" ht="13.4" customHeight="1">
      <c r="A20" s="4"/>
      <c r="B20" s="4"/>
      <c r="C20" s="4"/>
      <c r="D20" s="4"/>
      <c r="E20" s="6"/>
      <c r="F20" s="6"/>
      <c r="G20" s="4"/>
      <c r="H20" s="4"/>
      <c r="I20" s="7" t="s">
        <v>56</v>
      </c>
    </row>
    <row r="21" spans="1:9" ht="13.4" customHeight="1">
      <c r="A21" s="4"/>
      <c r="B21" s="4"/>
      <c r="C21" s="4"/>
      <c r="D21" s="4"/>
      <c r="E21" s="6"/>
      <c r="F21" s="6"/>
      <c r="G21" s="4"/>
      <c r="H21" s="4"/>
      <c r="I21" s="7" t="s">
        <v>56</v>
      </c>
    </row>
    <row r="22" spans="1:9" ht="13.4" customHeight="1">
      <c r="A22" s="4"/>
      <c r="B22" s="4"/>
      <c r="C22" s="4"/>
      <c r="D22" s="4"/>
      <c r="E22" s="6"/>
      <c r="F22" s="6"/>
      <c r="G22" s="4"/>
      <c r="H22" s="4"/>
      <c r="I22" s="7" t="s">
        <v>56</v>
      </c>
    </row>
    <row r="23" spans="1:9" ht="13.4" customHeight="1">
      <c r="A23" s="4"/>
      <c r="B23" s="4"/>
      <c r="C23" s="4"/>
      <c r="D23" s="4"/>
      <c r="E23" s="6"/>
      <c r="F23" s="6"/>
      <c r="G23" s="4"/>
      <c r="H23" s="4"/>
      <c r="I23" s="7" t="s">
        <v>56</v>
      </c>
    </row>
    <row r="24" spans="1:9" ht="13.4" customHeight="1">
      <c r="A24" s="4"/>
      <c r="B24" s="4"/>
      <c r="C24" s="4"/>
      <c r="D24" s="4"/>
      <c r="E24" s="6"/>
      <c r="F24" s="6"/>
      <c r="G24" s="4"/>
      <c r="H24" s="4"/>
      <c r="I24" s="7" t="s">
        <v>56</v>
      </c>
    </row>
    <row r="25" spans="1:9" ht="13.4" customHeight="1">
      <c r="A25" s="4"/>
      <c r="B25" s="4"/>
      <c r="C25" s="4"/>
      <c r="D25" s="4"/>
      <c r="E25" s="6"/>
      <c r="F25" s="6"/>
      <c r="G25" s="4"/>
      <c r="H25" s="4"/>
      <c r="I25" s="7" t="s">
        <v>56</v>
      </c>
    </row>
    <row r="26" spans="1:9" ht="13.4" customHeight="1">
      <c r="A26" s="4"/>
      <c r="B26" s="4"/>
      <c r="C26" s="4"/>
      <c r="D26" s="4"/>
      <c r="E26" s="6"/>
      <c r="F26" s="6"/>
      <c r="G26" s="4"/>
      <c r="H26" s="4"/>
      <c r="I26" s="7" t="s">
        <v>56</v>
      </c>
    </row>
    <row r="27" spans="1:9" ht="13.4" customHeight="1">
      <c r="A27" s="4" t="s">
        <v>68</v>
      </c>
      <c r="B27" s="4"/>
      <c r="C27" s="4"/>
      <c r="D27" s="4" t="s">
        <v>65</v>
      </c>
      <c r="E27" s="6">
        <v>38</v>
      </c>
      <c r="F27" s="6">
        <v>1</v>
      </c>
      <c r="G27" s="4"/>
      <c r="H27" s="4"/>
      <c r="I27" s="7" t="s">
        <v>40</v>
      </c>
    </row>
    <row r="28" spans="1:9" ht="13.4" customHeight="1">
      <c r="A28" s="4" t="s">
        <v>59</v>
      </c>
      <c r="B28" s="4"/>
      <c r="C28" s="4"/>
      <c r="D28" s="4" t="s">
        <v>60</v>
      </c>
      <c r="E28" s="6">
        <v>22</v>
      </c>
      <c r="F28" s="6">
        <v>4</v>
      </c>
      <c r="G28" s="4"/>
      <c r="H28" s="4"/>
      <c r="I28" s="7" t="s">
        <v>40</v>
      </c>
    </row>
    <row r="29" spans="1:9" ht="13.4" customHeight="1">
      <c r="A29" s="4" t="s">
        <v>61</v>
      </c>
      <c r="B29" s="4"/>
      <c r="C29" s="4"/>
      <c r="D29" s="4" t="s">
        <v>20</v>
      </c>
      <c r="E29" s="6">
        <v>50</v>
      </c>
      <c r="F29" s="6">
        <v>1</v>
      </c>
      <c r="G29" s="4"/>
      <c r="H29" s="4"/>
      <c r="I29" s="7" t="s">
        <v>40</v>
      </c>
    </row>
    <row r="30" spans="1:9" ht="13.4" customHeight="1">
      <c r="A30" s="4" t="s">
        <v>62</v>
      </c>
      <c r="B30" s="4"/>
      <c r="C30" s="4"/>
      <c r="D30" s="4" t="s">
        <v>45</v>
      </c>
      <c r="E30" s="6">
        <v>39</v>
      </c>
      <c r="F30" s="6">
        <v>2</v>
      </c>
      <c r="G30" s="4"/>
      <c r="H30" s="4"/>
      <c r="I30" s="7" t="s">
        <v>40</v>
      </c>
    </row>
    <row r="31" spans="1:9" ht="13.4" customHeight="1">
      <c r="A31" s="4" t="s">
        <v>69</v>
      </c>
      <c r="B31" s="4"/>
      <c r="C31" s="4"/>
      <c r="D31" s="4" t="s">
        <v>65</v>
      </c>
      <c r="E31" s="6">
        <v>23.5</v>
      </c>
      <c r="F31" s="6">
        <v>1</v>
      </c>
      <c r="G31" s="4"/>
      <c r="H31" s="4"/>
      <c r="I31" s="7" t="s">
        <v>40</v>
      </c>
    </row>
    <row r="32" spans="1:9" ht="13.4" customHeight="1">
      <c r="A32" s="4"/>
      <c r="B32" s="4"/>
      <c r="C32" s="4"/>
      <c r="D32" s="4"/>
      <c r="E32" s="6"/>
      <c r="F32" s="6"/>
      <c r="G32" s="4"/>
      <c r="H32" s="4"/>
      <c r="I32" s="7" t="s">
        <v>56</v>
      </c>
    </row>
    <row r="34" spans="1:2">
      <c r="A34" s="2" cm="1">
        <f t="array" ref="A34">SUMPRODUCT((I3:I32="YES")*(E3:E32)*(F3:F32))</f>
        <v>669.09999999999991</v>
      </c>
      <c r="B34" s="3" t="s">
        <v>7</v>
      </c>
    </row>
  </sheetData>
  <mergeCells count="1">
    <mergeCell ref="A1:H1"/>
  </mergeCells>
  <conditionalFormatting sqref="G3:G32">
    <cfRule type="expression" dxfId="2" priority="2">
      <formula>G3="בשימוש"</formula>
    </cfRule>
    <cfRule type="expression" dxfId="1" priority="3">
      <formula>G3="בשימוש חלקי"</formula>
    </cfRule>
    <cfRule type="expression" dxfId="0" priority="4">
      <formula>G3="לא בשימוש"</formula>
    </cfRule>
  </conditionalFormatting>
  <conditionalFormatting sqref="I3:I32">
    <cfRule type="cellIs" dxfId="3" priority="1" operator="equal">
      <formula>"YES"</formula>
    </cfRule>
  </conditionalFormatting>
  <dataValidations count="3">
    <dataValidation type="list" sqref="G3:G32" xr:uid="{00000000-0002-0000-0100-000000000000}">
      <formula1>"בשימוש,בשימוש חלקי,לא בשימוש"</formula1>
    </dataValidation>
    <dataValidation type="list" sqref="H3:H15 H20:H32" xr:uid="{00000000-0002-0000-0100-000001000000}">
      <formula1>"YES,NO"</formula1>
    </dataValidation>
    <dataValidation type="list" allowBlank="1" showInputMessage="1" showErrorMessage="1" sqref="I3:I32" xr:uid="{732D93D6-A984-40E7-9368-2B601E9008AF}">
      <formula1>"YES,NO"</formula1>
    </dataValidation>
  </dataValidations>
  <hyperlinks>
    <hyperlink ref="B3" r:id="rId1" xr:uid="{DCADDE9E-DEA7-4CA7-B7C4-2CBAC65D069B}"/>
    <hyperlink ref="B14" r:id="rId2" xr:uid="{A86AB2A8-B6CC-4E4B-B710-11AEAE41EE5E}"/>
    <hyperlink ref="B15" r:id="rId3" display="ehaur" xr:uid="{8D06642B-7922-4D61-8047-DAE90981E3E5}"/>
    <hyperlink ref="B16" r:id="rId4" xr:uid="{95913815-DD17-462F-BD1F-669A151F0189}"/>
    <hyperlink ref="B17" r:id="rId5" xr:uid="{07B9B718-8AF1-449A-99C6-4C80BB970BBB}"/>
    <hyperlink ref="B18" r:id="rId6" xr:uid="{86BA623C-9895-4F76-8F0B-3CCA0E7F635B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רכיבים</vt:lpstr>
      <vt:lpstr>מוצרים נלווים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tomer</cp:lastModifiedBy>
  <dcterms:modified xsi:type="dcterms:W3CDTF">2026-05-12T14:14:37Z</dcterms:modified>
</cp:coreProperties>
</file>